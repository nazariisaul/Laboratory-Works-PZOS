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\ПЗСО\Лабораторна 7\"/>
    </mc:Choice>
  </mc:AlternateContent>
  <xr:revisionPtr revIDLastSave="0" documentId="13_ncr:1_{1BE88A2E-DB69-4C41-9877-5C4C93329157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Завдання 1" sheetId="1" r:id="rId1"/>
    <sheet name="Завдання 2" sheetId="2" r:id="rId2"/>
    <sheet name="Завдання 3" sheetId="3" r:id="rId3"/>
    <sheet name="Завдання 4" sheetId="4" r:id="rId4"/>
    <sheet name="Завдання 5" sheetId="5" r:id="rId5"/>
    <sheet name="Завдання 6" sheetId="6" r:id="rId6"/>
    <sheet name="Завдання 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I6" i="6"/>
  <c r="E6" i="6"/>
  <c r="G6" i="6" s="1"/>
  <c r="H9" i="5"/>
  <c r="G4" i="3"/>
  <c r="G10" i="3" s="1"/>
  <c r="G4" i="2"/>
  <c r="G9" i="2" s="1"/>
  <c r="H4" i="2"/>
  <c r="H9" i="2" s="1"/>
  <c r="G5" i="3"/>
  <c r="H5" i="3" s="1"/>
  <c r="G6" i="3"/>
  <c r="H6" i="3" s="1"/>
  <c r="G7" i="3"/>
  <c r="G8" i="3"/>
  <c r="G9" i="3"/>
  <c r="F5" i="4"/>
  <c r="F6" i="4"/>
  <c r="G6" i="4" s="1"/>
  <c r="F7" i="4"/>
  <c r="G7" i="4" s="1"/>
  <c r="F8" i="4"/>
  <c r="G8" i="4" s="1"/>
  <c r="F9" i="4"/>
  <c r="F4" i="4"/>
  <c r="G4" i="4" s="1"/>
  <c r="K7" i="6"/>
  <c r="K8" i="6"/>
  <c r="K9" i="6"/>
  <c r="K10" i="6"/>
  <c r="J7" i="6"/>
  <c r="J8" i="6"/>
  <c r="J9" i="6"/>
  <c r="J10" i="6"/>
  <c r="I7" i="6"/>
  <c r="I8" i="6"/>
  <c r="I9" i="6"/>
  <c r="I10" i="6"/>
  <c r="H7" i="6"/>
  <c r="H8" i="6"/>
  <c r="H9" i="6"/>
  <c r="H10" i="6"/>
  <c r="F6" i="6"/>
  <c r="F7" i="6"/>
  <c r="F5" i="8"/>
  <c r="G7" i="6"/>
  <c r="G8" i="6"/>
  <c r="G9" i="6"/>
  <c r="G10" i="6"/>
  <c r="F8" i="6"/>
  <c r="F9" i="6"/>
  <c r="F10" i="6"/>
  <c r="E7" i="6"/>
  <c r="E8" i="6"/>
  <c r="E9" i="6"/>
  <c r="E10" i="6"/>
  <c r="H5" i="5"/>
  <c r="H6" i="5"/>
  <c r="H7" i="5"/>
  <c r="H8" i="5"/>
  <c r="H10" i="5"/>
  <c r="H4" i="5"/>
  <c r="F6" i="8"/>
  <c r="G6" i="8" s="1"/>
  <c r="F7" i="8"/>
  <c r="G7" i="8" s="1"/>
  <c r="F8" i="8"/>
  <c r="F9" i="8"/>
  <c r="F10" i="8"/>
  <c r="F11" i="8"/>
  <c r="G11" i="8" s="1"/>
  <c r="G8" i="8"/>
  <c r="G9" i="8"/>
  <c r="G10" i="8"/>
  <c r="G5" i="5"/>
  <c r="G6" i="5"/>
  <c r="G7" i="5"/>
  <c r="G8" i="5"/>
  <c r="G9" i="5"/>
  <c r="G10" i="5"/>
  <c r="G4" i="5"/>
  <c r="G5" i="4"/>
  <c r="G9" i="4"/>
  <c r="H7" i="3"/>
  <c r="H8" i="3"/>
  <c r="H9" i="3"/>
  <c r="F10" i="3"/>
  <c r="E10" i="3"/>
  <c r="D10" i="3"/>
  <c r="F5" i="3"/>
  <c r="F6" i="3"/>
  <c r="F7" i="3"/>
  <c r="F8" i="3"/>
  <c r="F9" i="3"/>
  <c r="F4" i="3"/>
  <c r="I9" i="2"/>
  <c r="I5" i="2"/>
  <c r="I6" i="2"/>
  <c r="I7" i="2"/>
  <c r="I8" i="2"/>
  <c r="I4" i="2"/>
  <c r="H5" i="2"/>
  <c r="H6" i="2"/>
  <c r="H7" i="2"/>
  <c r="H8" i="2"/>
  <c r="G5" i="2"/>
  <c r="G6" i="2"/>
  <c r="G7" i="2"/>
  <c r="G8" i="2"/>
  <c r="F9" i="2"/>
  <c r="E9" i="2"/>
  <c r="D9" i="2"/>
  <c r="D14" i="1"/>
  <c r="D13" i="1"/>
  <c r="D12" i="1"/>
  <c r="H6" i="6" l="1"/>
  <c r="J6" i="6" s="1"/>
  <c r="K6" i="6" s="1"/>
  <c r="H4" i="3"/>
  <c r="H10" i="3"/>
</calcChain>
</file>

<file path=xl/sharedStrings.xml><?xml version="1.0" encoding="utf-8"?>
<sst xmlns="http://schemas.openxmlformats.org/spreadsheetml/2006/main" count="104" uniqueCount="80">
  <si>
    <t>Зріст учнів</t>
  </si>
  <si>
    <t>№</t>
  </si>
  <si>
    <t>Прізвище</t>
  </si>
  <si>
    <t>Зріст</t>
  </si>
  <si>
    <t>Максимальне</t>
  </si>
  <si>
    <t>Мінімальне</t>
  </si>
  <si>
    <t>Середнє</t>
  </si>
  <si>
    <t>Шваб</t>
  </si>
  <si>
    <t>Тарасов</t>
  </si>
  <si>
    <t>Петров</t>
  </si>
  <si>
    <t>Невмержицький</t>
  </si>
  <si>
    <t>Бабич</t>
  </si>
  <si>
    <t>Дрозд</t>
  </si>
  <si>
    <t>Кравчук</t>
  </si>
  <si>
    <t>Мазур</t>
  </si>
  <si>
    <t>Обсяг реалізації</t>
  </si>
  <si>
    <t>Разом</t>
  </si>
  <si>
    <t>Веб-камера</t>
  </si>
  <si>
    <t>Проектор</t>
  </si>
  <si>
    <t>БФП</t>
  </si>
  <si>
    <t>Сканер</t>
  </si>
  <si>
    <t>Принтер</t>
  </si>
  <si>
    <t>Найменування</t>
  </si>
  <si>
    <t xml:space="preserve">Разом </t>
  </si>
  <si>
    <t>«Optoma»</t>
  </si>
  <si>
    <t>«Epson»</t>
  </si>
  <si>
    <t>«Canon»</t>
  </si>
  <si>
    <t>Зарплата за січень</t>
  </si>
  <si>
    <t xml:space="preserve">Прізвище </t>
  </si>
  <si>
    <t>Ставка</t>
  </si>
  <si>
    <t>Стаж</t>
  </si>
  <si>
    <t>Премія</t>
  </si>
  <si>
    <t>Старовойт</t>
  </si>
  <si>
    <t>Кравцов</t>
  </si>
  <si>
    <t>Іванов</t>
  </si>
  <si>
    <t>Рахунок</t>
  </si>
  <si>
    <t>Ціна</t>
  </si>
  <si>
    <t>Кількість</t>
  </si>
  <si>
    <t>Вартість</t>
  </si>
  <si>
    <t>Знижка</t>
  </si>
  <si>
    <t>Сума</t>
  </si>
  <si>
    <t>Системний блок P-3</t>
  </si>
  <si>
    <t>Системний блок C-2</t>
  </si>
  <si>
    <t>Монітор Samsung</t>
  </si>
  <si>
    <t>Монітор LG</t>
  </si>
  <si>
    <t>Принтер HP</t>
  </si>
  <si>
    <t>Принтер Epson</t>
  </si>
  <si>
    <t>Рахунок за жорсткі диски</t>
  </si>
  <si>
    <t>Фірма виробник</t>
  </si>
  <si>
    <t>Ємність, ГБ</t>
  </si>
  <si>
    <t>Ціна, грн</t>
  </si>
  <si>
    <t>Кількість, шт</t>
  </si>
  <si>
    <t>Вартість, грн</t>
  </si>
  <si>
    <t>Знижка, грн</t>
  </si>
  <si>
    <t>Samsung</t>
  </si>
  <si>
    <t>LG</t>
  </si>
  <si>
    <t>Oppo</t>
  </si>
  <si>
    <t>Kingston</t>
  </si>
  <si>
    <t>Нарахування зарплати</t>
  </si>
  <si>
    <t>Нараховано</t>
  </si>
  <si>
    <t>Утримано</t>
  </si>
  <si>
    <t>Сидоров</t>
  </si>
  <si>
    <t>Ковальчук</t>
  </si>
  <si>
    <t>Іванок</t>
  </si>
  <si>
    <t>Розряд</t>
  </si>
  <si>
    <t>Доплата</t>
  </si>
  <si>
    <t>Всього нараховано</t>
  </si>
  <si>
    <t xml:space="preserve">Внески </t>
  </si>
  <si>
    <t>Податок</t>
  </si>
  <si>
    <t>Всього утримано</t>
  </si>
  <si>
    <t>До виплати</t>
  </si>
  <si>
    <t>Успішність</t>
  </si>
  <si>
    <t>За рік</t>
  </si>
  <si>
    <t>Статус</t>
  </si>
  <si>
    <t xml:space="preserve">Семестр </t>
  </si>
  <si>
    <t>Пешко</t>
  </si>
  <si>
    <t>Орлов</t>
  </si>
  <si>
    <t>Маслов</t>
  </si>
  <si>
    <t>Лавров</t>
  </si>
  <si>
    <t>Баранов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</si>
</sst>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/>
    <xf numFmtId="0" fontId="1" fillId="0" borderId="7" xfId="0" applyFont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1" xfId="0" quotePrefix="1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Звичайний" xfId="0" builtinId="0"/>
  </cellStyles>
  <dxfs count="4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4"/>
  <sheetViews>
    <sheetView workbookViewId="0">
      <selection activeCell="D12" sqref="D12"/>
    </sheetView>
  </sheetViews>
  <sheetFormatPr defaultRowHeight="14.4" x14ac:dyDescent="0.3"/>
  <cols>
    <col min="2" max="2" width="6.21875" customWidth="1"/>
    <col min="3" max="3" width="20.21875" customWidth="1"/>
    <col min="4" max="4" width="10.6640625" customWidth="1"/>
  </cols>
  <sheetData>
    <row r="1" spans="2:4" ht="15" thickBot="1" x14ac:dyDescent="0.35"/>
    <row r="2" spans="2:4" ht="17.399999999999999" x14ac:dyDescent="0.3">
      <c r="B2" s="31" t="s">
        <v>0</v>
      </c>
      <c r="C2" s="32"/>
      <c r="D2" s="33"/>
    </row>
    <row r="3" spans="2:4" ht="17.399999999999999" x14ac:dyDescent="0.3">
      <c r="B3" s="15" t="s">
        <v>1</v>
      </c>
      <c r="C3" s="16" t="s">
        <v>2</v>
      </c>
      <c r="D3" s="17" t="s">
        <v>3</v>
      </c>
    </row>
    <row r="4" spans="2:4" ht="18" x14ac:dyDescent="0.35">
      <c r="B4" s="4">
        <v>1</v>
      </c>
      <c r="C4" s="9" t="s">
        <v>11</v>
      </c>
      <c r="D4" s="12">
        <v>1.68</v>
      </c>
    </row>
    <row r="5" spans="2:4" ht="18" x14ac:dyDescent="0.35">
      <c r="B5" s="4">
        <v>2</v>
      </c>
      <c r="C5" s="9" t="s">
        <v>12</v>
      </c>
      <c r="D5" s="12">
        <v>1.65</v>
      </c>
    </row>
    <row r="6" spans="2:4" ht="18" x14ac:dyDescent="0.35">
      <c r="B6" s="4">
        <v>3</v>
      </c>
      <c r="C6" s="9" t="s">
        <v>13</v>
      </c>
      <c r="D6" s="12">
        <v>1.57</v>
      </c>
    </row>
    <row r="7" spans="2:4" ht="18" x14ac:dyDescent="0.35">
      <c r="B7" s="4">
        <v>4</v>
      </c>
      <c r="C7" s="9" t="s">
        <v>14</v>
      </c>
      <c r="D7" s="12">
        <v>1.71</v>
      </c>
    </row>
    <row r="8" spans="2:4" ht="18" x14ac:dyDescent="0.35">
      <c r="B8" s="4">
        <v>5</v>
      </c>
      <c r="C8" s="9" t="s">
        <v>10</v>
      </c>
      <c r="D8" s="12">
        <v>1.45</v>
      </c>
    </row>
    <row r="9" spans="2:4" ht="18" x14ac:dyDescent="0.35">
      <c r="B9" s="4">
        <v>6</v>
      </c>
      <c r="C9" s="9" t="s">
        <v>9</v>
      </c>
      <c r="D9" s="12">
        <v>1.66</v>
      </c>
    </row>
    <row r="10" spans="2:4" ht="18" x14ac:dyDescent="0.35">
      <c r="B10" s="4">
        <v>7</v>
      </c>
      <c r="C10" s="9" t="s">
        <v>8</v>
      </c>
      <c r="D10" s="12">
        <v>1.59</v>
      </c>
    </row>
    <row r="11" spans="2:4" ht="18" x14ac:dyDescent="0.35">
      <c r="B11" s="4">
        <v>8</v>
      </c>
      <c r="C11" s="9" t="s">
        <v>7</v>
      </c>
      <c r="D11" s="12">
        <v>1.6</v>
      </c>
    </row>
    <row r="12" spans="2:4" ht="18" x14ac:dyDescent="0.35">
      <c r="B12" s="5"/>
      <c r="C12" s="9" t="s">
        <v>4</v>
      </c>
      <c r="D12" s="12">
        <f>MAX(D4:D11)</f>
        <v>1.71</v>
      </c>
    </row>
    <row r="13" spans="2:4" ht="18" x14ac:dyDescent="0.35">
      <c r="B13" s="5"/>
      <c r="C13" s="9" t="s">
        <v>5</v>
      </c>
      <c r="D13" s="12">
        <f>MIN(D4:D11)</f>
        <v>1.45</v>
      </c>
    </row>
    <row r="14" spans="2:4" ht="18.600000000000001" thickBot="1" x14ac:dyDescent="0.4">
      <c r="B14" s="6"/>
      <c r="C14" s="10" t="s">
        <v>6</v>
      </c>
      <c r="D14" s="13">
        <f>AVERAGE(D4:D11)</f>
        <v>1.61375</v>
      </c>
    </row>
  </sheetData>
  <mergeCells count="1"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DD4A-860A-4687-BBBC-5D2E30E98C6F}">
  <dimension ref="B1:J9"/>
  <sheetViews>
    <sheetView showFormulas="1" topLeftCell="D1" zoomScale="115" zoomScaleNormal="115" workbookViewId="0">
      <selection activeCell="H4" sqref="H4:H8"/>
    </sheetView>
  </sheetViews>
  <sheetFormatPr defaultRowHeight="14.4" x14ac:dyDescent="0.3"/>
  <cols>
    <col min="1" max="1" width="4.109375" customWidth="1"/>
    <col min="2" max="2" width="5.6640625" customWidth="1"/>
    <col min="3" max="3" width="19.6640625" customWidth="1"/>
    <col min="4" max="4" width="13.6640625" customWidth="1"/>
    <col min="5" max="6" width="13.77734375" customWidth="1"/>
    <col min="7" max="7" width="11.44140625" customWidth="1"/>
    <col min="8" max="8" width="15.44140625" customWidth="1"/>
    <col min="9" max="9" width="18.44140625" customWidth="1"/>
  </cols>
  <sheetData>
    <row r="1" spans="2:10" ht="15" thickBot="1" x14ac:dyDescent="0.35"/>
    <row r="2" spans="2:10" ht="17.399999999999999" x14ac:dyDescent="0.3">
      <c r="B2" s="34" t="s">
        <v>15</v>
      </c>
      <c r="C2" s="35"/>
      <c r="D2" s="35"/>
      <c r="E2" s="35"/>
      <c r="F2" s="35"/>
      <c r="G2" s="35"/>
      <c r="H2" s="35"/>
      <c r="I2" s="36"/>
    </row>
    <row r="3" spans="2:10" ht="17.399999999999999" x14ac:dyDescent="0.3">
      <c r="B3" s="15" t="s">
        <v>1</v>
      </c>
      <c r="C3" s="16" t="s">
        <v>22</v>
      </c>
      <c r="D3" s="16" t="s">
        <v>24</v>
      </c>
      <c r="E3" s="16" t="s">
        <v>25</v>
      </c>
      <c r="F3" s="16" t="s">
        <v>26</v>
      </c>
      <c r="G3" s="16" t="s">
        <v>23</v>
      </c>
      <c r="H3" s="16" t="s">
        <v>6</v>
      </c>
      <c r="I3" s="17" t="s">
        <v>4</v>
      </c>
      <c r="J3" s="1"/>
    </row>
    <row r="4" spans="2:10" ht="18" x14ac:dyDescent="0.35">
      <c r="B4" s="2">
        <v>1</v>
      </c>
      <c r="C4" s="7" t="s">
        <v>21</v>
      </c>
      <c r="D4" s="11">
        <v>25</v>
      </c>
      <c r="E4" s="11">
        <v>28</v>
      </c>
      <c r="F4" s="11">
        <v>15</v>
      </c>
      <c r="G4" s="11">
        <f>SUM(D4:F4)</f>
        <v>68</v>
      </c>
      <c r="H4" s="11">
        <f>AVERAGE(D4:F4)</f>
        <v>22.666666666666668</v>
      </c>
      <c r="I4" s="12">
        <f>MAX(D4:F4)</f>
        <v>28</v>
      </c>
    </row>
    <row r="5" spans="2:10" ht="18" x14ac:dyDescent="0.35">
      <c r="B5" s="2">
        <v>2</v>
      </c>
      <c r="C5" s="7" t="s">
        <v>20</v>
      </c>
      <c r="D5" s="11">
        <v>12</v>
      </c>
      <c r="E5" s="11">
        <v>15</v>
      </c>
      <c r="F5" s="11">
        <v>10</v>
      </c>
      <c r="G5" s="11">
        <f t="shared" ref="G5:G8" si="0">SUM(D5:F5)</f>
        <v>37</v>
      </c>
      <c r="H5" s="11">
        <f t="shared" ref="H5:H8" si="1">AVERAGE(D5:F5)</f>
        <v>12.333333333333334</v>
      </c>
      <c r="I5" s="12">
        <f t="shared" ref="I5:I8" si="2">MAX(D5:F5)</f>
        <v>15</v>
      </c>
    </row>
    <row r="6" spans="2:10" ht="18" x14ac:dyDescent="0.35">
      <c r="B6" s="2">
        <v>3</v>
      </c>
      <c r="C6" s="7" t="s">
        <v>19</v>
      </c>
      <c r="D6" s="11">
        <v>8</v>
      </c>
      <c r="E6" s="11">
        <v>14</v>
      </c>
      <c r="F6" s="11">
        <v>4</v>
      </c>
      <c r="G6" s="11">
        <f t="shared" si="0"/>
        <v>26</v>
      </c>
      <c r="H6" s="11">
        <f t="shared" si="1"/>
        <v>8.6666666666666661</v>
      </c>
      <c r="I6" s="12">
        <f t="shared" si="2"/>
        <v>14</v>
      </c>
    </row>
    <row r="7" spans="2:10" ht="18" x14ac:dyDescent="0.35">
      <c r="B7" s="2">
        <v>4</v>
      </c>
      <c r="C7" s="7" t="s">
        <v>18</v>
      </c>
      <c r="D7" s="11">
        <v>2</v>
      </c>
      <c r="E7" s="11">
        <v>3</v>
      </c>
      <c r="F7" s="11">
        <v>0</v>
      </c>
      <c r="G7" s="11">
        <f t="shared" si="0"/>
        <v>5</v>
      </c>
      <c r="H7" s="11">
        <f t="shared" si="1"/>
        <v>1.6666666666666667</v>
      </c>
      <c r="I7" s="12">
        <f t="shared" si="2"/>
        <v>3</v>
      </c>
    </row>
    <row r="8" spans="2:10" ht="18" x14ac:dyDescent="0.35">
      <c r="B8" s="2">
        <v>5</v>
      </c>
      <c r="C8" s="7" t="s">
        <v>17</v>
      </c>
      <c r="D8" s="11">
        <v>3</v>
      </c>
      <c r="E8" s="11">
        <v>4</v>
      </c>
      <c r="F8" s="11">
        <v>1</v>
      </c>
      <c r="G8" s="11">
        <f t="shared" si="0"/>
        <v>8</v>
      </c>
      <c r="H8" s="11">
        <f t="shared" si="1"/>
        <v>2.6666666666666665</v>
      </c>
      <c r="I8" s="12">
        <f t="shared" si="2"/>
        <v>4</v>
      </c>
    </row>
    <row r="9" spans="2:10" ht="18.600000000000001" thickBot="1" x14ac:dyDescent="0.4">
      <c r="B9" s="3"/>
      <c r="C9" s="8" t="s">
        <v>16</v>
      </c>
      <c r="D9" s="14">
        <f t="shared" ref="D9:I9" si="3">SUM(D4:D8)</f>
        <v>50</v>
      </c>
      <c r="E9" s="14">
        <f t="shared" si="3"/>
        <v>64</v>
      </c>
      <c r="F9" s="14">
        <f t="shared" si="3"/>
        <v>30</v>
      </c>
      <c r="G9" s="14">
        <f t="shared" si="3"/>
        <v>144</v>
      </c>
      <c r="H9" s="14">
        <f t="shared" si="3"/>
        <v>47.999999999999993</v>
      </c>
      <c r="I9" s="13">
        <f t="shared" si="3"/>
        <v>64</v>
      </c>
    </row>
  </sheetData>
  <mergeCells count="1">
    <mergeCell ref="B2:I2"/>
  </mergeCells>
  <conditionalFormatting sqref="H4:H8">
    <cfRule type="cellIs" dxfId="3" priority="1" operator="greaterThan">
      <formula>15</formula>
    </cfRule>
  </conditionalFormatting>
  <conditionalFormatting sqref="I22">
    <cfRule type="colorScale" priority="3">
      <colorScale>
        <cfvo type="num" val="0"/>
        <cfvo type="num" val="0"/>
        <color rgb="FF92D050"/>
        <color theme="0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0EEB-A69A-403A-B883-A651C2CC31E6}">
  <dimension ref="B1:H12"/>
  <sheetViews>
    <sheetView showFormulas="1" topLeftCell="B1" zoomScaleNormal="100" workbookViewId="0">
      <selection activeCell="I4" sqref="I4"/>
    </sheetView>
  </sheetViews>
  <sheetFormatPr defaultRowHeight="14.4" x14ac:dyDescent="0.3"/>
  <cols>
    <col min="2" max="2" width="5.6640625" customWidth="1"/>
    <col min="3" max="3" width="24.33203125" customWidth="1"/>
    <col min="4" max="4" width="10.33203125" customWidth="1"/>
    <col min="5" max="5" width="13.6640625" customWidth="1"/>
    <col min="6" max="6" width="12.44140625" customWidth="1"/>
    <col min="7" max="7" width="18.5546875" customWidth="1"/>
  </cols>
  <sheetData>
    <row r="1" spans="2:8" ht="15" thickBot="1" x14ac:dyDescent="0.35"/>
    <row r="2" spans="2:8" ht="17.399999999999999" x14ac:dyDescent="0.3">
      <c r="B2" s="34" t="s">
        <v>35</v>
      </c>
      <c r="C2" s="35"/>
      <c r="D2" s="35"/>
      <c r="E2" s="35"/>
      <c r="F2" s="35"/>
      <c r="G2" s="35"/>
      <c r="H2" s="36"/>
    </row>
    <row r="3" spans="2:8" ht="17.399999999999999" x14ac:dyDescent="0.3">
      <c r="B3" s="15" t="s">
        <v>1</v>
      </c>
      <c r="C3" s="16" t="s">
        <v>22</v>
      </c>
      <c r="D3" s="16" t="s">
        <v>36</v>
      </c>
      <c r="E3" s="16" t="s">
        <v>37</v>
      </c>
      <c r="F3" s="16" t="s">
        <v>38</v>
      </c>
      <c r="G3" s="16" t="s">
        <v>39</v>
      </c>
      <c r="H3" s="17" t="s">
        <v>40</v>
      </c>
    </row>
    <row r="4" spans="2:8" ht="18" x14ac:dyDescent="0.35">
      <c r="B4" s="5">
        <v>1</v>
      </c>
      <c r="C4" s="7" t="s">
        <v>41</v>
      </c>
      <c r="D4" s="11">
        <v>600</v>
      </c>
      <c r="E4" s="11">
        <v>2</v>
      </c>
      <c r="F4" s="11">
        <f>D4*E4</f>
        <v>1200</v>
      </c>
      <c r="G4" s="11">
        <f>IF(F4&gt;1000, F4*20%, F4*5%)</f>
        <v>240</v>
      </c>
      <c r="H4" s="12">
        <f>F4-G4</f>
        <v>960</v>
      </c>
    </row>
    <row r="5" spans="2:8" ht="18" x14ac:dyDescent="0.35">
      <c r="B5" s="5">
        <v>2</v>
      </c>
      <c r="C5" s="7" t="s">
        <v>42</v>
      </c>
      <c r="D5" s="11">
        <v>389</v>
      </c>
      <c r="E5" s="11">
        <v>6</v>
      </c>
      <c r="F5" s="11">
        <f t="shared" ref="F5:F9" si="0">D5*E5</f>
        <v>2334</v>
      </c>
      <c r="G5" s="11">
        <f t="shared" ref="G5:G9" si="1">IF(F5&gt;1000, F5*20%, F5*5%)</f>
        <v>466.8</v>
      </c>
      <c r="H5" s="12">
        <f t="shared" ref="H5:H10" si="2">F5-G5</f>
        <v>1867.2</v>
      </c>
    </row>
    <row r="6" spans="2:8" ht="18" x14ac:dyDescent="0.35">
      <c r="B6" s="5">
        <v>3</v>
      </c>
      <c r="C6" s="7" t="s">
        <v>43</v>
      </c>
      <c r="D6" s="11">
        <v>205.5</v>
      </c>
      <c r="E6" s="11">
        <v>2</v>
      </c>
      <c r="F6" s="11">
        <f t="shared" si="0"/>
        <v>411</v>
      </c>
      <c r="G6" s="11">
        <f t="shared" si="1"/>
        <v>20.55</v>
      </c>
      <c r="H6" s="12">
        <f t="shared" si="2"/>
        <v>390.45</v>
      </c>
    </row>
    <row r="7" spans="2:8" ht="18" x14ac:dyDescent="0.35">
      <c r="B7" s="5">
        <v>4</v>
      </c>
      <c r="C7" s="7" t="s">
        <v>44</v>
      </c>
      <c r="D7" s="11">
        <v>171.75</v>
      </c>
      <c r="E7" s="11">
        <v>5</v>
      </c>
      <c r="F7" s="11">
        <f t="shared" si="0"/>
        <v>858.75</v>
      </c>
      <c r="G7" s="11">
        <f t="shared" si="1"/>
        <v>42.9375</v>
      </c>
      <c r="H7" s="12">
        <f t="shared" si="2"/>
        <v>815.8125</v>
      </c>
    </row>
    <row r="8" spans="2:8" ht="18" x14ac:dyDescent="0.35">
      <c r="B8" s="5">
        <v>5</v>
      </c>
      <c r="C8" s="7" t="s">
        <v>45</v>
      </c>
      <c r="D8" s="11">
        <v>254.24</v>
      </c>
      <c r="E8" s="11">
        <v>3</v>
      </c>
      <c r="F8" s="11">
        <f t="shared" si="0"/>
        <v>762.72</v>
      </c>
      <c r="G8" s="11">
        <f t="shared" si="1"/>
        <v>38.136000000000003</v>
      </c>
      <c r="H8" s="12">
        <f t="shared" si="2"/>
        <v>724.58400000000006</v>
      </c>
    </row>
    <row r="9" spans="2:8" ht="18" x14ac:dyDescent="0.35">
      <c r="B9" s="5">
        <v>6</v>
      </c>
      <c r="C9" s="7" t="s">
        <v>46</v>
      </c>
      <c r="D9" s="11">
        <v>185.99</v>
      </c>
      <c r="E9" s="11">
        <v>4</v>
      </c>
      <c r="F9" s="11">
        <f t="shared" si="0"/>
        <v>743.96</v>
      </c>
      <c r="G9" s="11">
        <f t="shared" si="1"/>
        <v>37.198</v>
      </c>
      <c r="H9" s="12">
        <f t="shared" si="2"/>
        <v>706.76200000000006</v>
      </c>
    </row>
    <row r="10" spans="2:8" ht="18.600000000000001" thickBot="1" x14ac:dyDescent="0.4">
      <c r="B10" s="3"/>
      <c r="C10" s="18" t="s">
        <v>16</v>
      </c>
      <c r="D10" s="18">
        <f>SUM(D4:D9)</f>
        <v>1806.48</v>
      </c>
      <c r="E10" s="14">
        <f>SUM(E4:E9)</f>
        <v>22</v>
      </c>
      <c r="F10" s="14">
        <f>SUM(F4:F9)</f>
        <v>6310.43</v>
      </c>
      <c r="G10" s="14">
        <f>SUM(G4:G9)</f>
        <v>845.62149999999986</v>
      </c>
      <c r="H10" s="13">
        <f t="shared" si="2"/>
        <v>5464.8085000000001</v>
      </c>
    </row>
    <row r="11" spans="2:8" x14ac:dyDescent="0.3">
      <c r="H11" s="1"/>
    </row>
    <row r="12" spans="2:8" x14ac:dyDescent="0.3">
      <c r="H12" s="1"/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D666-251A-4CF6-86DB-9EE8CAD96DB8}">
  <dimension ref="B1:G9"/>
  <sheetViews>
    <sheetView showFormulas="1" workbookViewId="0">
      <selection activeCell="F4" sqref="F4"/>
    </sheetView>
  </sheetViews>
  <sheetFormatPr defaultRowHeight="14.4" x14ac:dyDescent="0.3"/>
  <cols>
    <col min="3" max="3" width="13.77734375" customWidth="1"/>
    <col min="4" max="4" width="11.109375" customWidth="1"/>
    <col min="6" max="6" width="16.33203125" customWidth="1"/>
    <col min="7" max="7" width="10.44140625" customWidth="1"/>
  </cols>
  <sheetData>
    <row r="1" spans="2:7" ht="15" thickBot="1" x14ac:dyDescent="0.35"/>
    <row r="2" spans="2:7" ht="17.399999999999999" x14ac:dyDescent="0.3">
      <c r="B2" s="34" t="s">
        <v>27</v>
      </c>
      <c r="C2" s="35"/>
      <c r="D2" s="35"/>
      <c r="E2" s="35"/>
      <c r="F2" s="35"/>
      <c r="G2" s="36"/>
    </row>
    <row r="3" spans="2:7" ht="17.399999999999999" x14ac:dyDescent="0.3">
      <c r="B3" s="15" t="s">
        <v>1</v>
      </c>
      <c r="C3" s="16" t="s">
        <v>28</v>
      </c>
      <c r="D3" s="16" t="s">
        <v>29</v>
      </c>
      <c r="E3" s="16" t="s">
        <v>30</v>
      </c>
      <c r="F3" s="16" t="s">
        <v>31</v>
      </c>
      <c r="G3" s="17" t="s">
        <v>16</v>
      </c>
    </row>
    <row r="4" spans="2:7" ht="18" x14ac:dyDescent="0.35">
      <c r="B4" s="5">
        <v>1</v>
      </c>
      <c r="C4" s="7" t="s">
        <v>34</v>
      </c>
      <c r="D4" s="11">
        <v>850.5</v>
      </c>
      <c r="E4" s="11">
        <v>15</v>
      </c>
      <c r="F4" s="11">
        <f>IF(E4&gt;15, D4*20%, 100)</f>
        <v>100</v>
      </c>
      <c r="G4" s="12">
        <f>D4+F4</f>
        <v>950.5</v>
      </c>
    </row>
    <row r="5" spans="2:7" ht="18" x14ac:dyDescent="0.35">
      <c r="B5" s="5">
        <v>2</v>
      </c>
      <c r="C5" s="7" t="s">
        <v>33</v>
      </c>
      <c r="D5" s="11">
        <v>900</v>
      </c>
      <c r="E5" s="11">
        <v>18</v>
      </c>
      <c r="F5" s="11">
        <f t="shared" ref="F5:F9" si="0">IF(E5&gt;15, D5*20%, 100)</f>
        <v>180</v>
      </c>
      <c r="G5" s="12">
        <f t="shared" ref="G5:G9" si="1">D5+F5</f>
        <v>1080</v>
      </c>
    </row>
    <row r="6" spans="2:7" ht="18" x14ac:dyDescent="0.35">
      <c r="B6" s="5">
        <v>3</v>
      </c>
      <c r="C6" s="7" t="s">
        <v>13</v>
      </c>
      <c r="D6" s="11">
        <v>1050.5</v>
      </c>
      <c r="E6" s="11">
        <v>8</v>
      </c>
      <c r="F6" s="11">
        <f t="shared" si="0"/>
        <v>100</v>
      </c>
      <c r="G6" s="12">
        <f t="shared" si="1"/>
        <v>1150.5</v>
      </c>
    </row>
    <row r="7" spans="2:7" ht="18" x14ac:dyDescent="0.35">
      <c r="B7" s="5">
        <v>4</v>
      </c>
      <c r="C7" s="7" t="s">
        <v>9</v>
      </c>
      <c r="D7" s="11">
        <v>925.75</v>
      </c>
      <c r="E7" s="11">
        <v>12</v>
      </c>
      <c r="F7" s="11">
        <f t="shared" si="0"/>
        <v>100</v>
      </c>
      <c r="G7" s="12">
        <f t="shared" si="1"/>
        <v>1025.75</v>
      </c>
    </row>
    <row r="8" spans="2:7" ht="18" x14ac:dyDescent="0.35">
      <c r="B8" s="5">
        <v>5</v>
      </c>
      <c r="C8" s="7" t="s">
        <v>32</v>
      </c>
      <c r="D8" s="11">
        <v>777</v>
      </c>
      <c r="E8" s="11">
        <v>24</v>
      </c>
      <c r="F8" s="11">
        <f t="shared" si="0"/>
        <v>155.4</v>
      </c>
      <c r="G8" s="12">
        <f t="shared" si="1"/>
        <v>932.4</v>
      </c>
    </row>
    <row r="9" spans="2:7" ht="18.600000000000001" thickBot="1" x14ac:dyDescent="0.4">
      <c r="B9" s="6">
        <v>6</v>
      </c>
      <c r="C9" s="8" t="s">
        <v>7</v>
      </c>
      <c r="D9" s="14">
        <v>950.6</v>
      </c>
      <c r="E9" s="14">
        <v>4</v>
      </c>
      <c r="F9" s="11">
        <f t="shared" si="0"/>
        <v>100</v>
      </c>
      <c r="G9" s="12">
        <f t="shared" si="1"/>
        <v>1050.5999999999999</v>
      </c>
    </row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3D8A-9826-46FE-B73A-0A4C73615B67}">
  <dimension ref="B1:H10"/>
  <sheetViews>
    <sheetView showFormulas="1" workbookViewId="0">
      <selection activeCell="H9" sqref="H9"/>
    </sheetView>
  </sheetViews>
  <sheetFormatPr defaultRowHeight="14.4" x14ac:dyDescent="0.3"/>
  <cols>
    <col min="2" max="2" width="7" customWidth="1"/>
    <col min="3" max="3" width="12.77734375" customWidth="1"/>
    <col min="4" max="4" width="11.6640625" customWidth="1"/>
    <col min="6" max="6" width="13" customWidth="1"/>
    <col min="7" max="7" width="12.5546875" customWidth="1"/>
    <col min="8" max="8" width="12.6640625" customWidth="1"/>
  </cols>
  <sheetData>
    <row r="1" spans="2:8" ht="15" thickBot="1" x14ac:dyDescent="0.35"/>
    <row r="2" spans="2:8" ht="18" thickBot="1" x14ac:dyDescent="0.35">
      <c r="B2" s="37" t="s">
        <v>47</v>
      </c>
      <c r="C2" s="38"/>
      <c r="D2" s="38"/>
      <c r="E2" s="38"/>
      <c r="F2" s="38"/>
      <c r="G2" s="38"/>
      <c r="H2" s="39"/>
    </row>
    <row r="3" spans="2:8" ht="41.4" customHeight="1" x14ac:dyDescent="0.3">
      <c r="B3" s="24" t="s">
        <v>1</v>
      </c>
      <c r="C3" s="25" t="s">
        <v>48</v>
      </c>
      <c r="D3" s="25" t="s">
        <v>49</v>
      </c>
      <c r="E3" s="25" t="s">
        <v>50</v>
      </c>
      <c r="F3" s="25" t="s">
        <v>51</v>
      </c>
      <c r="G3" s="25" t="s">
        <v>52</v>
      </c>
      <c r="H3" s="26" t="s">
        <v>53</v>
      </c>
    </row>
    <row r="4" spans="2:8" ht="18" x14ac:dyDescent="0.3">
      <c r="B4" s="19">
        <v>1</v>
      </c>
      <c r="C4" s="9" t="s">
        <v>54</v>
      </c>
      <c r="D4" s="20">
        <v>40</v>
      </c>
      <c r="E4" s="20">
        <v>158.65</v>
      </c>
      <c r="F4" s="20">
        <v>2</v>
      </c>
      <c r="G4" s="20">
        <f>E4*F4</f>
        <v>317.3</v>
      </c>
      <c r="H4" s="21">
        <f>IF(C4="Samsung",G4*20%,0)</f>
        <v>63.460000000000008</v>
      </c>
    </row>
    <row r="5" spans="2:8" ht="18" x14ac:dyDescent="0.3">
      <c r="B5" s="19">
        <v>2</v>
      </c>
      <c r="C5" s="9" t="s">
        <v>55</v>
      </c>
      <c r="D5" s="20">
        <v>40</v>
      </c>
      <c r="E5" s="20">
        <v>262</v>
      </c>
      <c r="F5" s="20">
        <v>1</v>
      </c>
      <c r="G5" s="20">
        <f t="shared" ref="G5:G10" si="0">E5*F5</f>
        <v>262</v>
      </c>
      <c r="H5" s="21">
        <f t="shared" ref="H5:H10" si="1">IF(C5="Samsung",G5*20%,0)</f>
        <v>0</v>
      </c>
    </row>
    <row r="6" spans="2:8" ht="18" x14ac:dyDescent="0.3">
      <c r="B6" s="19">
        <v>3</v>
      </c>
      <c r="C6" s="9" t="s">
        <v>54</v>
      </c>
      <c r="D6" s="20">
        <v>80</v>
      </c>
      <c r="E6" s="20">
        <v>349</v>
      </c>
      <c r="F6" s="20">
        <v>4</v>
      </c>
      <c r="G6" s="20">
        <f t="shared" si="0"/>
        <v>1396</v>
      </c>
      <c r="H6" s="21">
        <f t="shared" si="1"/>
        <v>279.2</v>
      </c>
    </row>
    <row r="7" spans="2:8" ht="18" x14ac:dyDescent="0.3">
      <c r="B7" s="19">
        <v>4</v>
      </c>
      <c r="C7" s="9" t="s">
        <v>54</v>
      </c>
      <c r="D7" s="20">
        <v>80</v>
      </c>
      <c r="E7" s="20">
        <v>310.2</v>
      </c>
      <c r="F7" s="20">
        <v>3</v>
      </c>
      <c r="G7" s="20">
        <f t="shared" si="0"/>
        <v>930.59999999999991</v>
      </c>
      <c r="H7" s="21">
        <f t="shared" si="1"/>
        <v>186.12</v>
      </c>
    </row>
    <row r="8" spans="2:8" ht="18" x14ac:dyDescent="0.3">
      <c r="B8" s="19">
        <v>5</v>
      </c>
      <c r="C8" s="9" t="s">
        <v>56</v>
      </c>
      <c r="D8" s="20">
        <v>50</v>
      </c>
      <c r="E8" s="20">
        <v>341.25</v>
      </c>
      <c r="F8" s="20">
        <v>3</v>
      </c>
      <c r="G8" s="20">
        <f t="shared" si="0"/>
        <v>1023.75</v>
      </c>
      <c r="H8" s="21">
        <f t="shared" si="1"/>
        <v>0</v>
      </c>
    </row>
    <row r="9" spans="2:8" ht="18" x14ac:dyDescent="0.3">
      <c r="B9" s="19">
        <v>6</v>
      </c>
      <c r="C9" s="9" t="s">
        <v>55</v>
      </c>
      <c r="D9" s="20">
        <v>80</v>
      </c>
      <c r="E9" s="20">
        <v>295</v>
      </c>
      <c r="F9" s="20">
        <v>5</v>
      </c>
      <c r="G9" s="20">
        <f t="shared" si="0"/>
        <v>1475</v>
      </c>
      <c r="H9" s="21">
        <f>IF(C9="Samsung",G9*20%,0)</f>
        <v>0</v>
      </c>
    </row>
    <row r="10" spans="2:8" ht="18.600000000000001" thickBot="1" x14ac:dyDescent="0.35">
      <c r="B10" s="22">
        <v>7</v>
      </c>
      <c r="C10" s="10" t="s">
        <v>57</v>
      </c>
      <c r="D10" s="23">
        <v>70</v>
      </c>
      <c r="E10" s="23">
        <v>477.75</v>
      </c>
      <c r="F10" s="23">
        <v>3</v>
      </c>
      <c r="G10" s="20">
        <f t="shared" si="0"/>
        <v>1433.25</v>
      </c>
      <c r="H10" s="21">
        <f t="shared" si="1"/>
        <v>0</v>
      </c>
    </row>
  </sheetData>
  <mergeCells count="1">
    <mergeCell ref="B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162E-AB91-448C-8B72-2E6AAA3A7CB6}">
  <dimension ref="B2:K10"/>
  <sheetViews>
    <sheetView showFormulas="1" topLeftCell="E1" workbookViewId="0">
      <selection activeCell="I6" sqref="I6"/>
    </sheetView>
  </sheetViews>
  <sheetFormatPr defaultRowHeight="14.4" x14ac:dyDescent="0.3"/>
  <cols>
    <col min="3" max="3" width="13.77734375" customWidth="1"/>
    <col min="4" max="4" width="7.109375" customWidth="1"/>
    <col min="5" max="5" width="21.33203125" customWidth="1"/>
    <col min="6" max="6" width="7.88671875" customWidth="1"/>
    <col min="8" max="8" width="21.6640625" customWidth="1"/>
    <col min="9" max="9" width="25.33203125" customWidth="1"/>
  </cols>
  <sheetData>
    <row r="2" spans="2:11" ht="15" thickBot="1" x14ac:dyDescent="0.35"/>
    <row r="3" spans="2:11" ht="18" thickBot="1" x14ac:dyDescent="0.35">
      <c r="B3" s="37" t="s">
        <v>58</v>
      </c>
      <c r="C3" s="38"/>
      <c r="D3" s="38"/>
      <c r="E3" s="38"/>
      <c r="F3" s="38"/>
      <c r="G3" s="38"/>
      <c r="H3" s="38"/>
      <c r="I3" s="38"/>
      <c r="J3" s="38"/>
      <c r="K3" s="39"/>
    </row>
    <row r="4" spans="2:11" ht="18" x14ac:dyDescent="0.3">
      <c r="B4" s="40"/>
      <c r="C4" s="41"/>
      <c r="D4" s="41"/>
      <c r="E4" s="41" t="s">
        <v>59</v>
      </c>
      <c r="F4" s="41"/>
      <c r="G4" s="27"/>
      <c r="H4" s="41" t="s">
        <v>60</v>
      </c>
      <c r="I4" s="41"/>
      <c r="J4" s="41"/>
      <c r="K4" s="42"/>
    </row>
    <row r="5" spans="2:11" ht="75.599999999999994" customHeight="1" x14ac:dyDescent="0.3">
      <c r="B5" s="19" t="s">
        <v>1</v>
      </c>
      <c r="C5" s="20" t="s">
        <v>2</v>
      </c>
      <c r="D5" s="28" t="s">
        <v>64</v>
      </c>
      <c r="E5" s="28" t="s">
        <v>29</v>
      </c>
      <c r="F5" s="28" t="s">
        <v>65</v>
      </c>
      <c r="G5" s="28" t="s">
        <v>66</v>
      </c>
      <c r="H5" s="28" t="s">
        <v>67</v>
      </c>
      <c r="I5" s="28" t="s">
        <v>68</v>
      </c>
      <c r="J5" s="28" t="s">
        <v>69</v>
      </c>
      <c r="K5" s="29" t="s">
        <v>70</v>
      </c>
    </row>
    <row r="6" spans="2:11" ht="18" x14ac:dyDescent="0.3">
      <c r="B6" s="19">
        <v>1</v>
      </c>
      <c r="C6" s="9" t="s">
        <v>63</v>
      </c>
      <c r="D6" s="20">
        <v>1</v>
      </c>
      <c r="E6" s="20">
        <f>IF(D6=1,275,IF(D6=2,365, IF(D6=3,455,0)))</f>
        <v>275</v>
      </c>
      <c r="F6" s="20">
        <f>E6*12%</f>
        <v>33</v>
      </c>
      <c r="G6" s="20">
        <f>E6+F6</f>
        <v>308</v>
      </c>
      <c r="H6" s="20">
        <f>IF(G6&gt;=400,G6*3.5%,0)</f>
        <v>0</v>
      </c>
      <c r="I6" s="20">
        <f>IF(G6&gt;500,G6*20%,IF(G6&gt;300,G6*15%,G6*10%))</f>
        <v>46.199999999999996</v>
      </c>
      <c r="J6" s="20">
        <f>H6+I6</f>
        <v>46.199999999999996</v>
      </c>
      <c r="K6" s="21">
        <f>G6-J6</f>
        <v>261.8</v>
      </c>
    </row>
    <row r="7" spans="2:11" ht="18" x14ac:dyDescent="0.3">
      <c r="B7" s="19">
        <v>2</v>
      </c>
      <c r="C7" s="9" t="s">
        <v>62</v>
      </c>
      <c r="D7" s="20">
        <v>3</v>
      </c>
      <c r="E7" s="20">
        <f t="shared" ref="E7:E10" si="0">IF(D7=1,275,IF(D7=2,365, IF(D7=3,455,0)))</f>
        <v>455</v>
      </c>
      <c r="F7" s="20">
        <f>E7*12%</f>
        <v>54.6</v>
      </c>
      <c r="G7" s="20">
        <f t="shared" ref="G7:G10" si="1">E7+F7</f>
        <v>509.6</v>
      </c>
      <c r="H7" s="20">
        <f t="shared" ref="H7:H10" si="2">IF(G7&gt;=400,G7*3.5%,0)</f>
        <v>17.836000000000002</v>
      </c>
      <c r="I7" s="20">
        <f t="shared" ref="I7:I10" si="3">IF(G7&gt;500,G7*20%,IF(G7&gt;300,G7*15%,G7*10%))</f>
        <v>101.92000000000002</v>
      </c>
      <c r="J7" s="20">
        <f t="shared" ref="J7:J10" si="4">H7+I7</f>
        <v>119.75600000000001</v>
      </c>
      <c r="K7" s="21">
        <f t="shared" ref="K7:K10" si="5">G7-J7</f>
        <v>389.84399999999999</v>
      </c>
    </row>
    <row r="8" spans="2:11" ht="18" x14ac:dyDescent="0.3">
      <c r="B8" s="19">
        <v>3</v>
      </c>
      <c r="C8" s="9" t="s">
        <v>9</v>
      </c>
      <c r="D8" s="20">
        <v>3</v>
      </c>
      <c r="E8" s="20">
        <f t="shared" si="0"/>
        <v>455</v>
      </c>
      <c r="F8" s="20">
        <f t="shared" ref="F8:F10" si="6">E8*12%</f>
        <v>54.6</v>
      </c>
      <c r="G8" s="20">
        <f t="shared" si="1"/>
        <v>509.6</v>
      </c>
      <c r="H8" s="20">
        <f t="shared" si="2"/>
        <v>17.836000000000002</v>
      </c>
      <c r="I8" s="20">
        <f t="shared" si="3"/>
        <v>101.92000000000002</v>
      </c>
      <c r="J8" s="20">
        <f t="shared" si="4"/>
        <v>119.75600000000001</v>
      </c>
      <c r="K8" s="21">
        <f t="shared" si="5"/>
        <v>389.84399999999999</v>
      </c>
    </row>
    <row r="9" spans="2:11" ht="18" x14ac:dyDescent="0.3">
      <c r="B9" s="19">
        <v>4</v>
      </c>
      <c r="C9" s="9" t="s">
        <v>61</v>
      </c>
      <c r="D9" s="20">
        <v>2</v>
      </c>
      <c r="E9" s="20">
        <f t="shared" si="0"/>
        <v>365</v>
      </c>
      <c r="F9" s="20">
        <f t="shared" si="6"/>
        <v>43.8</v>
      </c>
      <c r="G9" s="20">
        <f t="shared" si="1"/>
        <v>408.8</v>
      </c>
      <c r="H9" s="20">
        <f t="shared" si="2"/>
        <v>14.308000000000002</v>
      </c>
      <c r="I9" s="20">
        <f t="shared" si="3"/>
        <v>61.32</v>
      </c>
      <c r="J9" s="20">
        <f t="shared" si="4"/>
        <v>75.628</v>
      </c>
      <c r="K9" s="21">
        <f t="shared" si="5"/>
        <v>333.17200000000003</v>
      </c>
    </row>
    <row r="10" spans="2:11" ht="18.600000000000001" thickBot="1" x14ac:dyDescent="0.35">
      <c r="B10" s="22">
        <v>5</v>
      </c>
      <c r="C10" s="10" t="s">
        <v>7</v>
      </c>
      <c r="D10" s="23">
        <v>2</v>
      </c>
      <c r="E10" s="20">
        <f t="shared" si="0"/>
        <v>365</v>
      </c>
      <c r="F10" s="20">
        <f t="shared" si="6"/>
        <v>43.8</v>
      </c>
      <c r="G10" s="20">
        <f t="shared" si="1"/>
        <v>408.8</v>
      </c>
      <c r="H10" s="20">
        <f t="shared" si="2"/>
        <v>14.308000000000002</v>
      </c>
      <c r="I10" s="20">
        <f t="shared" si="3"/>
        <v>61.32</v>
      </c>
      <c r="J10" s="20">
        <f t="shared" si="4"/>
        <v>75.628</v>
      </c>
      <c r="K10" s="21">
        <f t="shared" si="5"/>
        <v>333.17200000000003</v>
      </c>
    </row>
  </sheetData>
  <mergeCells count="5">
    <mergeCell ref="B3:K3"/>
    <mergeCell ref="B4:D4"/>
    <mergeCell ref="J4:K4"/>
    <mergeCell ref="E4:F4"/>
    <mergeCell ref="H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0517-0E73-4D1C-94B2-D973D147B4BE}">
  <dimension ref="B1:G11"/>
  <sheetViews>
    <sheetView tabSelected="1" workbookViewId="0">
      <selection activeCell="J11" sqref="J11"/>
    </sheetView>
  </sheetViews>
  <sheetFormatPr defaultRowHeight="14.4" x14ac:dyDescent="0.3"/>
  <cols>
    <col min="2" max="2" width="6.44140625" customWidth="1"/>
    <col min="3" max="3" width="15.33203125" customWidth="1"/>
    <col min="6" max="6" width="18" customWidth="1"/>
    <col min="7" max="7" width="15.33203125" customWidth="1"/>
  </cols>
  <sheetData>
    <row r="1" spans="2:7" ht="15" thickBot="1" x14ac:dyDescent="0.35"/>
    <row r="2" spans="2:7" ht="18.600000000000001" thickBot="1" x14ac:dyDescent="0.35">
      <c r="B2" s="43" t="s">
        <v>71</v>
      </c>
      <c r="C2" s="44"/>
      <c r="D2" s="44"/>
      <c r="E2" s="44"/>
      <c r="F2" s="44"/>
      <c r="G2" s="45"/>
    </row>
    <row r="3" spans="2:7" ht="18" x14ac:dyDescent="0.3">
      <c r="B3" s="40"/>
      <c r="C3" s="41"/>
      <c r="D3" s="41" t="s">
        <v>74</v>
      </c>
      <c r="E3" s="41"/>
      <c r="F3" s="41"/>
      <c r="G3" s="42"/>
    </row>
    <row r="4" spans="2:7" ht="18" x14ac:dyDescent="0.3">
      <c r="B4" s="19" t="s">
        <v>1</v>
      </c>
      <c r="C4" s="20" t="s">
        <v>2</v>
      </c>
      <c r="D4" s="20">
        <v>1</v>
      </c>
      <c r="E4" s="20">
        <v>2</v>
      </c>
      <c r="F4" s="20" t="s">
        <v>72</v>
      </c>
      <c r="G4" s="21" t="s">
        <v>73</v>
      </c>
    </row>
    <row r="5" spans="2:7" ht="18" x14ac:dyDescent="0.3">
      <c r="B5" s="19">
        <v>1</v>
      </c>
      <c r="C5" s="9" t="s">
        <v>79</v>
      </c>
      <c r="D5" s="20">
        <v>7</v>
      </c>
      <c r="E5" s="20">
        <v>8</v>
      </c>
      <c r="F5" s="30">
        <f t="shared" ref="F5:F11" si="0">ROUND(AVERAGE(D5:E5),0)</f>
        <v>8</v>
      </c>
      <c r="G5" s="21" t="str">
        <f>IF(F5&gt;=10,"Відмінник",IF(F5&gt;=7,"Хорошист",IF(F5&gt;=4,"Трієчник","Двієчник")))</f>
        <v>Хорошист</v>
      </c>
    </row>
    <row r="6" spans="2:7" ht="18" x14ac:dyDescent="0.3">
      <c r="B6" s="19">
        <v>2</v>
      </c>
      <c r="C6" s="9" t="s">
        <v>34</v>
      </c>
      <c r="D6" s="20">
        <v>8</v>
      </c>
      <c r="E6" s="20">
        <v>10</v>
      </c>
      <c r="F6" s="30">
        <f t="shared" si="0"/>
        <v>9</v>
      </c>
      <c r="G6" s="21" t="str">
        <f t="shared" ref="G6:G11" si="1">IF(F6&gt;=10,"Відмінник",IF(F6&gt;=7,"Хорошист",IF(F6&gt;=4,"Трієчник","Двієчник")))</f>
        <v>Хорошист</v>
      </c>
    </row>
    <row r="7" spans="2:7" ht="18" x14ac:dyDescent="0.3">
      <c r="B7" s="19">
        <v>3</v>
      </c>
      <c r="C7" s="9" t="s">
        <v>78</v>
      </c>
      <c r="D7" s="20">
        <v>4</v>
      </c>
      <c r="E7" s="20">
        <v>5</v>
      </c>
      <c r="F7" s="30">
        <f t="shared" si="0"/>
        <v>5</v>
      </c>
      <c r="G7" s="21" t="str">
        <f t="shared" si="1"/>
        <v>Трієчник</v>
      </c>
    </row>
    <row r="8" spans="2:7" ht="18" x14ac:dyDescent="0.3">
      <c r="B8" s="19">
        <v>4</v>
      </c>
      <c r="C8" s="9" t="s">
        <v>77</v>
      </c>
      <c r="D8" s="20">
        <v>6</v>
      </c>
      <c r="E8" s="20">
        <v>9</v>
      </c>
      <c r="F8" s="30">
        <f t="shared" si="0"/>
        <v>8</v>
      </c>
      <c r="G8" s="21" t="str">
        <f t="shared" si="1"/>
        <v>Хорошист</v>
      </c>
    </row>
    <row r="9" spans="2:7" ht="18" x14ac:dyDescent="0.3">
      <c r="B9" s="19">
        <v>5</v>
      </c>
      <c r="C9" s="9" t="s">
        <v>76</v>
      </c>
      <c r="D9" s="20">
        <v>12</v>
      </c>
      <c r="E9" s="20">
        <v>12</v>
      </c>
      <c r="F9" s="30">
        <f t="shared" si="0"/>
        <v>12</v>
      </c>
      <c r="G9" s="21" t="str">
        <f t="shared" si="1"/>
        <v>Відмінник</v>
      </c>
    </row>
    <row r="10" spans="2:7" ht="18" x14ac:dyDescent="0.3">
      <c r="B10" s="19">
        <v>6</v>
      </c>
      <c r="C10" s="9" t="s">
        <v>75</v>
      </c>
      <c r="D10" s="20">
        <v>2</v>
      </c>
      <c r="E10" s="20">
        <v>3</v>
      </c>
      <c r="F10" s="30">
        <f t="shared" si="0"/>
        <v>3</v>
      </c>
      <c r="G10" s="21" t="str">
        <f t="shared" si="1"/>
        <v>Двієчник</v>
      </c>
    </row>
    <row r="11" spans="2:7" ht="18.600000000000001" thickBot="1" x14ac:dyDescent="0.35">
      <c r="B11" s="22">
        <v>7</v>
      </c>
      <c r="C11" s="10" t="s">
        <v>7</v>
      </c>
      <c r="D11" s="23">
        <v>4</v>
      </c>
      <c r="E11" s="23">
        <v>8</v>
      </c>
      <c r="F11" s="30">
        <f t="shared" si="0"/>
        <v>6</v>
      </c>
      <c r="G11" s="21" t="str">
        <f t="shared" si="1"/>
        <v>Трієчник</v>
      </c>
    </row>
  </sheetData>
  <mergeCells count="4">
    <mergeCell ref="B2:G2"/>
    <mergeCell ref="F3:G3"/>
    <mergeCell ref="D3:E3"/>
    <mergeCell ref="B3:C3"/>
  </mergeCells>
  <conditionalFormatting sqref="G5:G11">
    <cfRule type="cellIs" dxfId="2" priority="2" operator="equal">
      <formula>"Відмінник"</formula>
    </cfRule>
    <cfRule type="cellIs" dxfId="1" priority="1" operator="equal">
      <formula>"Відмінник"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Завдання 1</vt:lpstr>
      <vt:lpstr>Завдання 2</vt:lpstr>
      <vt:lpstr>Завдання 3</vt:lpstr>
      <vt:lpstr>Завдання 4</vt:lpstr>
      <vt:lpstr>Завдання 5</vt:lpstr>
      <vt:lpstr>Завдання 6</vt:lpstr>
      <vt:lpstr>Завдання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32324</dc:creator>
  <cp:lastModifiedBy>Сауляк Назарій Богданович</cp:lastModifiedBy>
  <dcterms:created xsi:type="dcterms:W3CDTF">2015-06-05T18:19:34Z</dcterms:created>
  <dcterms:modified xsi:type="dcterms:W3CDTF">2025-11-20T06:19:27Z</dcterms:modified>
</cp:coreProperties>
</file>