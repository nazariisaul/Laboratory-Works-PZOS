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tudy\ПЗСО\Лабораторна 6\"/>
    </mc:Choice>
  </mc:AlternateContent>
  <xr:revisionPtr revIDLastSave="0" documentId="13_ncr:1_{2F43B926-C569-4DBE-8A53-2A9578FF3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вдання 1" sheetId="1" r:id="rId1"/>
    <sheet name="Завдання 2" sheetId="2" r:id="rId2"/>
    <sheet name="Завдання 3" sheetId="3" r:id="rId3"/>
    <sheet name="Завдання 4" sheetId="4" r:id="rId4"/>
    <sheet name="Завдання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G6" i="5"/>
  <c r="G7" i="5"/>
  <c r="G8" i="5"/>
  <c r="G9" i="5"/>
  <c r="G5" i="5"/>
  <c r="F10" i="5"/>
  <c r="F6" i="5"/>
  <c r="F7" i="5"/>
  <c r="F8" i="5"/>
  <c r="F9" i="5"/>
  <c r="F5" i="5"/>
  <c r="E10" i="5"/>
  <c r="D10" i="5"/>
  <c r="E6" i="4"/>
  <c r="E7" i="4"/>
  <c r="E8" i="4"/>
  <c r="E9" i="4"/>
  <c r="E10" i="4"/>
  <c r="E11" i="4"/>
  <c r="E12" i="4"/>
  <c r="E13" i="4"/>
  <c r="E5" i="4"/>
  <c r="F5" i="3"/>
  <c r="F6" i="3"/>
  <c r="F7" i="3"/>
  <c r="F8" i="3"/>
  <c r="F9" i="3"/>
  <c r="F4" i="3"/>
  <c r="H8" i="2"/>
  <c r="H5" i="2"/>
  <c r="H6" i="2"/>
  <c r="H7" i="2"/>
  <c r="H4" i="2"/>
  <c r="G8" i="2"/>
  <c r="G5" i="2"/>
  <c r="G6" i="2"/>
  <c r="G7" i="2"/>
  <c r="G4" i="2"/>
  <c r="F8" i="2"/>
  <c r="F5" i="2"/>
  <c r="F6" i="2"/>
  <c r="F7" i="2"/>
  <c r="F4" i="2"/>
  <c r="E8" i="2"/>
  <c r="D8" i="2"/>
  <c r="F9" i="1"/>
  <c r="F5" i="1"/>
  <c r="F6" i="1"/>
  <c r="F7" i="1"/>
  <c r="F8" i="1"/>
  <c r="F4" i="1"/>
  <c r="D9" i="1"/>
  <c r="E9" i="1"/>
</calcChain>
</file>

<file path=xl/sharedStrings.xml><?xml version="1.0" encoding="utf-8"?>
<sst xmlns="http://schemas.openxmlformats.org/spreadsheetml/2006/main" count="66" uniqueCount="40">
  <si>
    <t>№</t>
  </si>
  <si>
    <t>Разом</t>
  </si>
  <si>
    <t>Найменування</t>
  </si>
  <si>
    <t>Ціна</t>
  </si>
  <si>
    <t xml:space="preserve">Кількість </t>
  </si>
  <si>
    <t>Вартість</t>
  </si>
  <si>
    <t>Комп'ютер</t>
  </si>
  <si>
    <t>Принтер</t>
  </si>
  <si>
    <t>Сканер</t>
  </si>
  <si>
    <t>Веб-камера</t>
  </si>
  <si>
    <t>Проектор</t>
  </si>
  <si>
    <t>Рахунок</t>
  </si>
  <si>
    <t xml:space="preserve">Назва </t>
  </si>
  <si>
    <t>Кількість</t>
  </si>
  <si>
    <t>Знижка</t>
  </si>
  <si>
    <t>Всього</t>
  </si>
  <si>
    <t>Килимок</t>
  </si>
  <si>
    <t>Миша</t>
  </si>
  <si>
    <t>Клавіатура</t>
  </si>
  <si>
    <t>Оцінка з інформатики</t>
  </si>
  <si>
    <t>Прізвище</t>
  </si>
  <si>
    <t>1 Семестр</t>
  </si>
  <si>
    <t>2 Семестр</t>
  </si>
  <si>
    <t>Шваб</t>
  </si>
  <si>
    <t>Орлов</t>
  </si>
  <si>
    <t>Маслов</t>
  </si>
  <si>
    <t>Кравчук</t>
  </si>
  <si>
    <t>Кот</t>
  </si>
  <si>
    <t>Іванов</t>
  </si>
  <si>
    <t>Річна</t>
  </si>
  <si>
    <t>Прайс-лист</t>
  </si>
  <si>
    <t>Курс $</t>
  </si>
  <si>
    <t>Ціна, $</t>
  </si>
  <si>
    <t>Ціна, грн</t>
  </si>
  <si>
    <t>Фільтр</t>
  </si>
  <si>
    <t>Модем</t>
  </si>
  <si>
    <t>Монітор</t>
  </si>
  <si>
    <t>Системний блок</t>
  </si>
  <si>
    <t>Вартість, $</t>
  </si>
  <si>
    <t>Вартість,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</si>
</sst>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_₴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66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66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"/>
  <sheetViews>
    <sheetView tabSelected="1" zoomScale="160" zoomScaleNormal="160" workbookViewId="0">
      <selection activeCell="C13" sqref="C13"/>
    </sheetView>
  </sheetViews>
  <sheetFormatPr defaultRowHeight="14.4" x14ac:dyDescent="0.3"/>
  <cols>
    <col min="2" max="2" width="6.21875" customWidth="1"/>
    <col min="3" max="3" width="16.109375" customWidth="1"/>
    <col min="4" max="4" width="15" customWidth="1"/>
    <col min="5" max="5" width="11.5546875" customWidth="1"/>
    <col min="6" max="6" width="11.6640625" customWidth="1"/>
  </cols>
  <sheetData>
    <row r="1" spans="2:6" ht="15" thickBot="1" x14ac:dyDescent="0.35"/>
    <row r="2" spans="2:6" ht="18" x14ac:dyDescent="0.3">
      <c r="B2" s="22" t="s">
        <v>11</v>
      </c>
      <c r="C2" s="19"/>
      <c r="D2" s="19"/>
      <c r="E2" s="19"/>
      <c r="F2" s="20"/>
    </row>
    <row r="3" spans="2:6" ht="18" x14ac:dyDescent="0.3">
      <c r="B3" s="10" t="s">
        <v>0</v>
      </c>
      <c r="C3" s="1" t="s">
        <v>2</v>
      </c>
      <c r="D3" s="1" t="s">
        <v>3</v>
      </c>
      <c r="E3" s="1" t="s">
        <v>4</v>
      </c>
      <c r="F3" s="13" t="s">
        <v>5</v>
      </c>
    </row>
    <row r="4" spans="2:6" ht="18" x14ac:dyDescent="0.3">
      <c r="B4" s="10">
        <v>1</v>
      </c>
      <c r="C4" s="11" t="s">
        <v>6</v>
      </c>
      <c r="D4" s="12">
        <v>3500</v>
      </c>
      <c r="E4" s="1">
        <v>10</v>
      </c>
      <c r="F4" s="13">
        <f>D4*E4</f>
        <v>35000</v>
      </c>
    </row>
    <row r="5" spans="2:6" ht="18" x14ac:dyDescent="0.3">
      <c r="B5" s="10">
        <v>2</v>
      </c>
      <c r="C5" s="11" t="s">
        <v>7</v>
      </c>
      <c r="D5" s="12">
        <v>680.5</v>
      </c>
      <c r="E5" s="1">
        <v>2</v>
      </c>
      <c r="F5" s="13">
        <f t="shared" ref="F5:F9" si="0">D5*E5</f>
        <v>1361</v>
      </c>
    </row>
    <row r="6" spans="2:6" ht="18" x14ac:dyDescent="0.3">
      <c r="B6" s="10">
        <v>3</v>
      </c>
      <c r="C6" s="11" t="s">
        <v>8</v>
      </c>
      <c r="D6" s="12">
        <v>375.75</v>
      </c>
      <c r="E6" s="1">
        <v>2</v>
      </c>
      <c r="F6" s="13">
        <f t="shared" si="0"/>
        <v>751.5</v>
      </c>
    </row>
    <row r="7" spans="2:6" ht="18" x14ac:dyDescent="0.3">
      <c r="B7" s="10">
        <v>4</v>
      </c>
      <c r="C7" s="11" t="s">
        <v>9</v>
      </c>
      <c r="D7" s="12">
        <v>120.5</v>
      </c>
      <c r="E7" s="1">
        <v>4</v>
      </c>
      <c r="F7" s="13">
        <f t="shared" si="0"/>
        <v>482</v>
      </c>
    </row>
    <row r="8" spans="2:6" ht="18" x14ac:dyDescent="0.3">
      <c r="B8" s="10">
        <v>5</v>
      </c>
      <c r="C8" s="11" t="s">
        <v>10</v>
      </c>
      <c r="D8" s="12">
        <v>3400</v>
      </c>
      <c r="E8" s="1">
        <v>3</v>
      </c>
      <c r="F8" s="13">
        <f t="shared" si="0"/>
        <v>10200</v>
      </c>
    </row>
    <row r="9" spans="2:6" ht="18.600000000000001" thickBot="1" x14ac:dyDescent="0.35">
      <c r="B9" s="14"/>
      <c r="C9" s="25" t="s">
        <v>1</v>
      </c>
      <c r="D9" s="16">
        <f>SUM(D4:D8)</f>
        <v>8076.75</v>
      </c>
      <c r="E9" s="21">
        <f>SUM(E4:E8)</f>
        <v>21</v>
      </c>
      <c r="F9" s="17">
        <f>SUM(F4:F8)</f>
        <v>47794.5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1B0B-560F-4E71-B543-07EAE9FB3259}">
  <dimension ref="B1:H8"/>
  <sheetViews>
    <sheetView zoomScale="175" zoomScaleNormal="175" workbookViewId="0">
      <selection activeCell="B2" sqref="B2:H8"/>
    </sheetView>
  </sheetViews>
  <sheetFormatPr defaultRowHeight="14.4" x14ac:dyDescent="0.3"/>
  <cols>
    <col min="2" max="2" width="7" customWidth="1"/>
    <col min="3" max="3" width="14.44140625" customWidth="1"/>
    <col min="4" max="4" width="11.77734375" customWidth="1"/>
    <col min="5" max="5" width="11.6640625" customWidth="1"/>
    <col min="6" max="6" width="11.44140625" customWidth="1"/>
    <col min="7" max="7" width="10.109375" customWidth="1"/>
    <col min="8" max="8" width="12" customWidth="1"/>
  </cols>
  <sheetData>
    <row r="1" spans="2:8" ht="15" thickBot="1" x14ac:dyDescent="0.35"/>
    <row r="2" spans="2:8" ht="17.399999999999999" x14ac:dyDescent="0.3">
      <c r="B2" s="22" t="s">
        <v>11</v>
      </c>
      <c r="C2" s="23"/>
      <c r="D2" s="23"/>
      <c r="E2" s="23"/>
      <c r="F2" s="23"/>
      <c r="G2" s="23"/>
      <c r="H2" s="24"/>
    </row>
    <row r="3" spans="2:8" ht="18" x14ac:dyDescent="0.3">
      <c r="B3" s="10" t="s">
        <v>0</v>
      </c>
      <c r="C3" s="1" t="s">
        <v>12</v>
      </c>
      <c r="D3" s="1" t="s">
        <v>3</v>
      </c>
      <c r="E3" s="1" t="s">
        <v>13</v>
      </c>
      <c r="F3" s="1" t="s">
        <v>5</v>
      </c>
      <c r="G3" s="1" t="s">
        <v>14</v>
      </c>
      <c r="H3" s="13" t="s">
        <v>15</v>
      </c>
    </row>
    <row r="4" spans="2:8" ht="18" x14ac:dyDescent="0.3">
      <c r="B4" s="10">
        <v>1</v>
      </c>
      <c r="C4" s="11" t="s">
        <v>18</v>
      </c>
      <c r="D4" s="12">
        <v>45</v>
      </c>
      <c r="E4" s="1">
        <v>5</v>
      </c>
      <c r="F4" s="1">
        <f>D4*E4</f>
        <v>225</v>
      </c>
      <c r="G4" s="1">
        <f>F4*10%</f>
        <v>22.5</v>
      </c>
      <c r="H4" s="13">
        <f>F4-G4</f>
        <v>202.5</v>
      </c>
    </row>
    <row r="5" spans="2:8" ht="18" x14ac:dyDescent="0.3">
      <c r="B5" s="10">
        <v>2</v>
      </c>
      <c r="C5" s="11" t="s">
        <v>17</v>
      </c>
      <c r="D5" s="12">
        <v>38.299999999999997</v>
      </c>
      <c r="E5" s="1">
        <v>5</v>
      </c>
      <c r="F5" s="1">
        <f t="shared" ref="F5:F7" si="0">D5*E5</f>
        <v>191.5</v>
      </c>
      <c r="G5" s="1">
        <f t="shared" ref="G5:G7" si="1">F5*10%</f>
        <v>19.150000000000002</v>
      </c>
      <c r="H5" s="13">
        <f t="shared" ref="H5:H7" si="2">F5-G5</f>
        <v>172.35</v>
      </c>
    </row>
    <row r="6" spans="2:8" ht="18" x14ac:dyDescent="0.3">
      <c r="B6" s="10">
        <v>3</v>
      </c>
      <c r="C6" s="11" t="s">
        <v>16</v>
      </c>
      <c r="D6" s="12">
        <v>12.55</v>
      </c>
      <c r="E6" s="1">
        <v>10</v>
      </c>
      <c r="F6" s="1">
        <f t="shared" si="0"/>
        <v>125.5</v>
      </c>
      <c r="G6" s="1">
        <f t="shared" si="1"/>
        <v>12.55</v>
      </c>
      <c r="H6" s="13">
        <f t="shared" si="2"/>
        <v>112.95</v>
      </c>
    </row>
    <row r="7" spans="2:8" ht="18" x14ac:dyDescent="0.3">
      <c r="B7" s="10">
        <v>4</v>
      </c>
      <c r="C7" s="11" t="s">
        <v>7</v>
      </c>
      <c r="D7" s="12">
        <v>480</v>
      </c>
      <c r="E7" s="1">
        <v>6</v>
      </c>
      <c r="F7" s="1">
        <f t="shared" si="0"/>
        <v>2880</v>
      </c>
      <c r="G7" s="1">
        <f t="shared" si="1"/>
        <v>288</v>
      </c>
      <c r="H7" s="13">
        <f t="shared" si="2"/>
        <v>2592</v>
      </c>
    </row>
    <row r="8" spans="2:8" ht="18.600000000000001" thickBot="1" x14ac:dyDescent="0.35">
      <c r="B8" s="14"/>
      <c r="C8" s="25" t="s">
        <v>1</v>
      </c>
      <c r="D8" s="16">
        <f>SUM(D4:D7)</f>
        <v>575.85</v>
      </c>
      <c r="E8" s="21">
        <f>SUM(E4:E7)</f>
        <v>26</v>
      </c>
      <c r="F8" s="21">
        <f>SUM(F4:F7)</f>
        <v>3422</v>
      </c>
      <c r="G8" s="21">
        <f>SUM(G4:G7)</f>
        <v>342.2</v>
      </c>
      <c r="H8" s="17">
        <f>SUM(H4:H7)</f>
        <v>3079.8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EAAC-B000-494E-BBF0-682A85B3420A}">
  <dimension ref="B1:F9"/>
  <sheetViews>
    <sheetView zoomScale="175" zoomScaleNormal="175" workbookViewId="0">
      <selection activeCell="B2" sqref="B2:F2"/>
    </sheetView>
  </sheetViews>
  <sheetFormatPr defaultRowHeight="14.4" x14ac:dyDescent="0.3"/>
  <cols>
    <col min="2" max="2" width="6.77734375" customWidth="1"/>
    <col min="3" max="3" width="13.21875" customWidth="1"/>
    <col min="4" max="4" width="13.44140625" customWidth="1"/>
    <col min="5" max="5" width="12.33203125" customWidth="1"/>
    <col min="6" max="6" width="9.6640625" customWidth="1"/>
  </cols>
  <sheetData>
    <row r="1" spans="2:6" ht="15" thickBot="1" x14ac:dyDescent="0.35"/>
    <row r="2" spans="2:6" ht="18" x14ac:dyDescent="0.3">
      <c r="B2" s="18" t="s">
        <v>19</v>
      </c>
      <c r="C2" s="19"/>
      <c r="D2" s="19"/>
      <c r="E2" s="19"/>
      <c r="F2" s="20"/>
    </row>
    <row r="3" spans="2:6" ht="18" x14ac:dyDescent="0.3">
      <c r="B3" s="10" t="s">
        <v>0</v>
      </c>
      <c r="C3" s="1" t="s">
        <v>20</v>
      </c>
      <c r="D3" s="1" t="s">
        <v>21</v>
      </c>
      <c r="E3" s="1" t="s">
        <v>22</v>
      </c>
      <c r="F3" s="13" t="s">
        <v>29</v>
      </c>
    </row>
    <row r="4" spans="2:6" ht="18" x14ac:dyDescent="0.3">
      <c r="B4" s="10">
        <v>1</v>
      </c>
      <c r="C4" s="11" t="s">
        <v>28</v>
      </c>
      <c r="D4" s="1">
        <v>10</v>
      </c>
      <c r="E4" s="1">
        <v>11</v>
      </c>
      <c r="F4" s="13">
        <f>AVERAGE(D4:E4)</f>
        <v>10.5</v>
      </c>
    </row>
    <row r="5" spans="2:6" ht="18" x14ac:dyDescent="0.3">
      <c r="B5" s="10">
        <v>2</v>
      </c>
      <c r="C5" s="11" t="s">
        <v>27</v>
      </c>
      <c r="D5" s="1">
        <v>8</v>
      </c>
      <c r="E5" s="1">
        <v>10</v>
      </c>
      <c r="F5" s="13">
        <f t="shared" ref="F5:F9" si="0">AVERAGE(D5:E5)</f>
        <v>9</v>
      </c>
    </row>
    <row r="6" spans="2:6" ht="18" x14ac:dyDescent="0.3">
      <c r="B6" s="10">
        <v>3</v>
      </c>
      <c r="C6" s="11" t="s">
        <v>26</v>
      </c>
      <c r="D6" s="1">
        <v>4</v>
      </c>
      <c r="E6" s="1">
        <v>6</v>
      </c>
      <c r="F6" s="13">
        <f t="shared" si="0"/>
        <v>5</v>
      </c>
    </row>
    <row r="7" spans="2:6" ht="18" x14ac:dyDescent="0.3">
      <c r="B7" s="10">
        <v>4</v>
      </c>
      <c r="C7" s="11" t="s">
        <v>25</v>
      </c>
      <c r="D7" s="1">
        <v>8</v>
      </c>
      <c r="E7" s="1">
        <v>5</v>
      </c>
      <c r="F7" s="13">
        <f t="shared" si="0"/>
        <v>6.5</v>
      </c>
    </row>
    <row r="8" spans="2:6" ht="18" x14ac:dyDescent="0.3">
      <c r="B8" s="10">
        <v>5</v>
      </c>
      <c r="C8" s="11" t="s">
        <v>24</v>
      </c>
      <c r="D8" s="1">
        <v>12</v>
      </c>
      <c r="E8" s="1">
        <v>10</v>
      </c>
      <c r="F8" s="13">
        <f t="shared" si="0"/>
        <v>11</v>
      </c>
    </row>
    <row r="9" spans="2:6" ht="18.600000000000001" thickBot="1" x14ac:dyDescent="0.35">
      <c r="B9" s="14">
        <v>6</v>
      </c>
      <c r="C9" s="15" t="s">
        <v>23</v>
      </c>
      <c r="D9" s="21">
        <v>8</v>
      </c>
      <c r="E9" s="21">
        <v>9</v>
      </c>
      <c r="F9" s="13">
        <f t="shared" si="0"/>
        <v>8.5</v>
      </c>
    </row>
  </sheetData>
  <mergeCells count="1"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0CBA-3B48-4A21-BDD5-F93EC2650669}">
  <dimension ref="B1:E13"/>
  <sheetViews>
    <sheetView zoomScale="130" zoomScaleNormal="130" workbookViewId="0">
      <selection activeCell="G7" sqref="G7"/>
    </sheetView>
  </sheetViews>
  <sheetFormatPr defaultRowHeight="14.4" x14ac:dyDescent="0.3"/>
  <cols>
    <col min="2" max="2" width="6.88671875" customWidth="1"/>
    <col min="3" max="3" width="20.33203125" customWidth="1"/>
    <col min="4" max="4" width="15.21875" customWidth="1"/>
    <col min="5" max="5" width="11.21875" customWidth="1"/>
  </cols>
  <sheetData>
    <row r="1" spans="2:5" ht="15" thickBot="1" x14ac:dyDescent="0.35"/>
    <row r="2" spans="2:5" ht="18" x14ac:dyDescent="0.3">
      <c r="B2" s="2" t="s">
        <v>30</v>
      </c>
      <c r="C2" s="3"/>
      <c r="D2" s="3"/>
      <c r="E2" s="4"/>
    </row>
    <row r="3" spans="2:5" ht="18" x14ac:dyDescent="0.3">
      <c r="B3" s="5"/>
      <c r="C3" s="6"/>
      <c r="D3" s="7" t="s">
        <v>31</v>
      </c>
      <c r="E3" s="8">
        <v>42.3</v>
      </c>
    </row>
    <row r="4" spans="2:5" ht="17.399999999999999" x14ac:dyDescent="0.3">
      <c r="B4" s="5" t="s">
        <v>0</v>
      </c>
      <c r="C4" s="6" t="s">
        <v>2</v>
      </c>
      <c r="D4" s="6" t="s">
        <v>32</v>
      </c>
      <c r="E4" s="9" t="s">
        <v>33</v>
      </c>
    </row>
    <row r="5" spans="2:5" ht="18" x14ac:dyDescent="0.3">
      <c r="B5" s="10">
        <v>1</v>
      </c>
      <c r="C5" s="11" t="s">
        <v>37</v>
      </c>
      <c r="D5" s="12">
        <v>2123</v>
      </c>
      <c r="E5" s="13">
        <f>D5*E$3</f>
        <v>89802.9</v>
      </c>
    </row>
    <row r="6" spans="2:5" ht="18" x14ac:dyDescent="0.3">
      <c r="B6" s="10">
        <v>2</v>
      </c>
      <c r="C6" s="11" t="s">
        <v>36</v>
      </c>
      <c r="D6" s="12">
        <v>1025.5</v>
      </c>
      <c r="E6" s="13">
        <f t="shared" ref="E6:E13" si="0">D6*E$3</f>
        <v>43378.649999999994</v>
      </c>
    </row>
    <row r="7" spans="2:5" ht="18" x14ac:dyDescent="0.3">
      <c r="B7" s="10">
        <v>3</v>
      </c>
      <c r="C7" s="11" t="s">
        <v>18</v>
      </c>
      <c r="D7" s="12">
        <v>68.55</v>
      </c>
      <c r="E7" s="13">
        <f t="shared" si="0"/>
        <v>2899.6649999999995</v>
      </c>
    </row>
    <row r="8" spans="2:5" ht="18" x14ac:dyDescent="0.3">
      <c r="B8" s="10">
        <v>4</v>
      </c>
      <c r="C8" s="11" t="s">
        <v>17</v>
      </c>
      <c r="D8" s="12">
        <v>43</v>
      </c>
      <c r="E8" s="13">
        <f t="shared" si="0"/>
        <v>1818.8999999999999</v>
      </c>
    </row>
    <row r="9" spans="2:5" ht="18" x14ac:dyDescent="0.3">
      <c r="B9" s="10">
        <v>5</v>
      </c>
      <c r="C9" s="11" t="s">
        <v>7</v>
      </c>
      <c r="D9" s="12">
        <v>456</v>
      </c>
      <c r="E9" s="13">
        <f t="shared" si="0"/>
        <v>19288.8</v>
      </c>
    </row>
    <row r="10" spans="2:5" ht="18" x14ac:dyDescent="0.3">
      <c r="B10" s="10">
        <v>6</v>
      </c>
      <c r="C10" s="11" t="s">
        <v>8</v>
      </c>
      <c r="D10" s="12">
        <v>325</v>
      </c>
      <c r="E10" s="13">
        <f t="shared" si="0"/>
        <v>13747.499999999998</v>
      </c>
    </row>
    <row r="11" spans="2:5" ht="18" x14ac:dyDescent="0.3">
      <c r="B11" s="10">
        <v>7</v>
      </c>
      <c r="C11" s="11" t="s">
        <v>9</v>
      </c>
      <c r="D11" s="12">
        <v>100</v>
      </c>
      <c r="E11" s="13">
        <f t="shared" si="0"/>
        <v>4230</v>
      </c>
    </row>
    <row r="12" spans="2:5" ht="18" x14ac:dyDescent="0.3">
      <c r="B12" s="10">
        <v>8</v>
      </c>
      <c r="C12" s="11" t="s">
        <v>35</v>
      </c>
      <c r="D12" s="12">
        <v>254.44</v>
      </c>
      <c r="E12" s="13">
        <f t="shared" si="0"/>
        <v>10762.812</v>
      </c>
    </row>
    <row r="13" spans="2:5" ht="18.600000000000001" thickBot="1" x14ac:dyDescent="0.35">
      <c r="B13" s="14">
        <v>9</v>
      </c>
      <c r="C13" s="15" t="s">
        <v>34</v>
      </c>
      <c r="D13" s="16">
        <v>17.989999999999998</v>
      </c>
      <c r="E13" s="17">
        <f t="shared" si="0"/>
        <v>760.97699999999986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3A1-4BE1-4DB7-B244-21D0A7236341}">
  <dimension ref="B1:G10"/>
  <sheetViews>
    <sheetView zoomScaleNormal="100" workbookViewId="0">
      <selection activeCell="I10" sqref="I10"/>
    </sheetView>
  </sheetViews>
  <sheetFormatPr defaultRowHeight="14.4" x14ac:dyDescent="0.3"/>
  <cols>
    <col min="2" max="2" width="7.33203125" customWidth="1"/>
    <col min="3" max="3" width="19.44140625" customWidth="1"/>
    <col min="4" max="4" width="15.6640625" customWidth="1"/>
    <col min="5" max="5" width="15.109375" customWidth="1"/>
    <col min="6" max="6" width="14.33203125" customWidth="1"/>
    <col min="7" max="7" width="17.21875" customWidth="1"/>
  </cols>
  <sheetData>
    <row r="1" spans="2:7" ht="15" thickBot="1" x14ac:dyDescent="0.35"/>
    <row r="2" spans="2:7" ht="17.399999999999999" x14ac:dyDescent="0.3">
      <c r="B2" s="22" t="s">
        <v>11</v>
      </c>
      <c r="C2" s="23"/>
      <c r="D2" s="23"/>
      <c r="E2" s="23"/>
      <c r="F2" s="23"/>
      <c r="G2" s="24"/>
    </row>
    <row r="3" spans="2:7" ht="18" x14ac:dyDescent="0.3">
      <c r="B3" s="10"/>
      <c r="C3" s="1"/>
      <c r="D3" s="1"/>
      <c r="E3" s="1"/>
      <c r="F3" s="1" t="s">
        <v>31</v>
      </c>
      <c r="G3" s="13">
        <v>42.3</v>
      </c>
    </row>
    <row r="4" spans="2:7" ht="18" x14ac:dyDescent="0.3">
      <c r="B4" s="10" t="s">
        <v>0</v>
      </c>
      <c r="C4" s="1" t="s">
        <v>2</v>
      </c>
      <c r="D4" s="1" t="s">
        <v>32</v>
      </c>
      <c r="E4" s="1" t="s">
        <v>13</v>
      </c>
      <c r="F4" s="1" t="s">
        <v>38</v>
      </c>
      <c r="G4" s="13" t="s">
        <v>39</v>
      </c>
    </row>
    <row r="5" spans="2:7" ht="18" x14ac:dyDescent="0.3">
      <c r="B5" s="10">
        <v>1</v>
      </c>
      <c r="C5" s="11" t="s">
        <v>37</v>
      </c>
      <c r="D5" s="12">
        <v>2123</v>
      </c>
      <c r="E5" s="1">
        <v>2</v>
      </c>
      <c r="F5" s="1">
        <f>D5*E5</f>
        <v>4246</v>
      </c>
      <c r="G5" s="13">
        <f>F5*G$3</f>
        <v>179605.8</v>
      </c>
    </row>
    <row r="6" spans="2:7" ht="18" x14ac:dyDescent="0.3">
      <c r="B6" s="10">
        <v>2</v>
      </c>
      <c r="C6" s="11" t="s">
        <v>36</v>
      </c>
      <c r="D6" s="12">
        <v>1025.5</v>
      </c>
      <c r="E6" s="1">
        <v>4</v>
      </c>
      <c r="F6" s="1">
        <f t="shared" ref="F6:F9" si="0">D6*E6</f>
        <v>4102</v>
      </c>
      <c r="G6" s="13">
        <f t="shared" ref="G6:G9" si="1">F6*G$3</f>
        <v>173514.59999999998</v>
      </c>
    </row>
    <row r="7" spans="2:7" ht="18" x14ac:dyDescent="0.3">
      <c r="B7" s="10">
        <v>3</v>
      </c>
      <c r="C7" s="11" t="s">
        <v>18</v>
      </c>
      <c r="D7" s="12">
        <v>68.55</v>
      </c>
      <c r="E7" s="1">
        <v>3</v>
      </c>
      <c r="F7" s="1">
        <f t="shared" si="0"/>
        <v>205.64999999999998</v>
      </c>
      <c r="G7" s="13">
        <f t="shared" si="1"/>
        <v>8698.994999999999</v>
      </c>
    </row>
    <row r="8" spans="2:7" ht="18" x14ac:dyDescent="0.3">
      <c r="B8" s="10">
        <v>4</v>
      </c>
      <c r="C8" s="11" t="s">
        <v>17</v>
      </c>
      <c r="D8" s="12">
        <v>43</v>
      </c>
      <c r="E8" s="1">
        <v>6</v>
      </c>
      <c r="F8" s="1">
        <f t="shared" si="0"/>
        <v>258</v>
      </c>
      <c r="G8" s="13">
        <f t="shared" si="1"/>
        <v>10913.4</v>
      </c>
    </row>
    <row r="9" spans="2:7" ht="18" x14ac:dyDescent="0.3">
      <c r="B9" s="10">
        <v>5</v>
      </c>
      <c r="C9" s="11" t="s">
        <v>7</v>
      </c>
      <c r="D9" s="12">
        <v>456</v>
      </c>
      <c r="E9" s="1">
        <v>2</v>
      </c>
      <c r="F9" s="1">
        <f t="shared" si="0"/>
        <v>912</v>
      </c>
      <c r="G9" s="13">
        <f t="shared" si="1"/>
        <v>38577.599999999999</v>
      </c>
    </row>
    <row r="10" spans="2:7" ht="18.600000000000001" thickBot="1" x14ac:dyDescent="0.35">
      <c r="B10" s="14"/>
      <c r="C10" s="15" t="s">
        <v>1</v>
      </c>
      <c r="D10" s="16">
        <f>SUM(D5:D9)</f>
        <v>3716.05</v>
      </c>
      <c r="E10" s="21">
        <f>SUM(E5:E9)</f>
        <v>17</v>
      </c>
      <c r="F10" s="21">
        <f>SUM(F5:F9)</f>
        <v>9723.65</v>
      </c>
      <c r="G10" s="17">
        <f>SUM(G5:G9)</f>
        <v>411310.39499999996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Завдання 1</vt:lpstr>
      <vt:lpstr>Завдання 2</vt:lpstr>
      <vt:lpstr>Завдання 3</vt:lpstr>
      <vt:lpstr>Завдання 4</vt:lpstr>
      <vt:lpstr>Завдання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32324</dc:creator>
  <cp:lastModifiedBy>Сауляк Назарій Богданович</cp:lastModifiedBy>
  <dcterms:created xsi:type="dcterms:W3CDTF">2015-06-05T18:19:34Z</dcterms:created>
  <dcterms:modified xsi:type="dcterms:W3CDTF">2025-10-30T07:57:01Z</dcterms:modified>
</cp:coreProperties>
</file>